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s\FATI_WordGenerator\FATI_WordGenerator\Resources\"/>
    </mc:Choice>
  </mc:AlternateContent>
  <xr:revisionPtr revIDLastSave="0" documentId="13_ncr:1_{4806D20D-9625-4C00-A07A-60E59B5155F8}" xr6:coauthVersionLast="47" xr6:coauthVersionMax="47" xr10:uidLastSave="{00000000-0000-0000-0000-000000000000}"/>
  <bookViews>
    <workbookView xWindow="-120" yWindow="-120" windowWidth="38640" windowHeight="21120" activeTab="1" xr2:uid="{2E3EC6A4-35A1-495C-9A86-58B7DC168D52}"/>
  </bookViews>
  <sheets>
    <sheet name="Adresse" sheetId="1" r:id="rId1"/>
    <sheet name="Positionen" sheetId="2" r:id="rId2"/>
    <sheet name="Firma" sheetId="3" r:id="rId3"/>
    <sheet name="Liste___Positionen" sheetId="11" r:id="rId4"/>
    <sheet name="Liste___Firma" sheetId="10" r:id="rId5"/>
  </sheets>
  <definedNames>
    <definedName name="ATU">Liste___Firma!$F:$F</definedName>
    <definedName name="Bezeichnung">Liste___Positionen!$A:$A</definedName>
    <definedName name="Einzelpreis">Liste___Positionen!$B:$B</definedName>
    <definedName name="ExterneDaten_1" localSheetId="3" hidden="1">Liste___Positionen!$A$1:$C$12</definedName>
    <definedName name="ExterneDaten_2" localSheetId="4" hidden="1">Liste___Firma!$A$1:$F$3</definedName>
    <definedName name="Mengenbezeichnung">Liste___Positionen!$C:$C</definedName>
    <definedName name="Name">Liste___Firma!$A:$A</definedName>
    <definedName name="Nr">Liste___Firma!$C:$C</definedName>
    <definedName name="Ort">Liste___Firma!$E:$E</definedName>
    <definedName name="PLZ">Liste___Firma!$D:$D</definedName>
    <definedName name="Straße">Liste___Firma!$B:$B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B45" i="2"/>
  <c r="B46" i="2"/>
  <c r="B47" i="2"/>
  <c r="B48" i="2"/>
  <c r="B49" i="2"/>
  <c r="B50" i="2"/>
  <c r="B51" i="2"/>
  <c r="B52" i="2"/>
  <c r="B53" i="2"/>
  <c r="B54" i="2"/>
  <c r="B5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2" i="2"/>
  <c r="D2" i="2"/>
  <c r="C2" i="3"/>
  <c r="F2" i="3"/>
  <c r="E2" i="3"/>
  <c r="D2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4D6E7F-2B16-42A2-9F68-FCDAD129666B}" keepAlive="1" name="Abfrage - Liste___Firma" description="Verbindung mit der Abfrage 'Liste___Firma' in der Arbeitsmappe." type="5" refreshedVersion="0" background="1">
    <dbPr connection="Provider=Microsoft.Mashup.OleDb.1;Data Source=$Workbook$;Location=Liste___Firma;Extended Properties=&quot;&quot;" command="SELECT * FROM [Liste___Firma]"/>
  </connection>
  <connection id="2" xr16:uid="{9ECBA26B-5F14-4EA1-B1E1-A911FCED9F47}" keepAlive="1" name="Abfrage - Liste___Positionen" description="Verbindung mit der Abfrage 'Liste___Positionen' in der Arbeitsmappe." type="5" refreshedVersion="0" background="1">
    <dbPr connection="Provider=Microsoft.Mashup.OleDb.1;Data Source=$Workbook$;Location=Liste___Positionen;Extended Properties=&quot;&quot;" command="SELECT * FROM [Liste___Positionen]"/>
  </connection>
</connections>
</file>

<file path=xl/sharedStrings.xml><?xml version="1.0" encoding="utf-8"?>
<sst xmlns="http://schemas.openxmlformats.org/spreadsheetml/2006/main" count="63" uniqueCount="40">
  <si>
    <t>Straße</t>
  </si>
  <si>
    <t>Nr</t>
  </si>
  <si>
    <t>Ort</t>
  </si>
  <si>
    <t>Menge</t>
  </si>
  <si>
    <t>Bezeichnung</t>
  </si>
  <si>
    <t>Einzelpreis</t>
  </si>
  <si>
    <t>Std</t>
  </si>
  <si>
    <t>Regie FA</t>
  </si>
  <si>
    <t>Regie HA</t>
  </si>
  <si>
    <t>PLZ</t>
  </si>
  <si>
    <t>Name</t>
  </si>
  <si>
    <t>ALLITECH Allgemeine Isoliertechnik GmbH</t>
  </si>
  <si>
    <t>Wien</t>
  </si>
  <si>
    <t>Große Schiffgasse</t>
  </si>
  <si>
    <t>ATU</t>
  </si>
  <si>
    <t>Zeitraum (Monat)</t>
  </si>
  <si>
    <t>Zeitraum (Jahr)</t>
  </si>
  <si>
    <t>Details</t>
  </si>
  <si>
    <t>2-3</t>
  </si>
  <si>
    <t>Anton Traunfellner Ges.m.b.H</t>
  </si>
  <si>
    <t>Tirolerstraße</t>
  </si>
  <si>
    <t>7a</t>
  </si>
  <si>
    <t>St. Pölten</t>
  </si>
  <si>
    <t>Himberger Strasse</t>
  </si>
  <si>
    <t>13 BT I+II</t>
  </si>
  <si>
    <t>Schwechat</t>
  </si>
  <si>
    <t>Betonplatten 50/50</t>
  </si>
  <si>
    <t>Vlies</t>
  </si>
  <si>
    <t>Rigole 20/7</t>
  </si>
  <si>
    <t>Betonplatten schneiden</t>
  </si>
  <si>
    <t xml:space="preserve">Flexband </t>
  </si>
  <si>
    <t>Stichkanal</t>
  </si>
  <si>
    <t>Mehrsplitt</t>
  </si>
  <si>
    <t>Material Lieferung</t>
  </si>
  <si>
    <t>Regiearbeit</t>
  </si>
  <si>
    <t>m²</t>
  </si>
  <si>
    <t>lfm</t>
  </si>
  <si>
    <t>pauschal</t>
  </si>
  <si>
    <t>m3</t>
  </si>
  <si>
    <t>Mengenbezeichnung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</si>
</sst>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wrapText="1"/>
    </xf>
    <xf numFmtId="49" fontId="0" fillId="0" borderId="0" xfId="0" applyNumberFormat="1" applyAlignment="1"/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/>
    <xf numFmtId="49" fontId="1" fillId="0" borderId="0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NumberFormat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Border="1"/>
    <xf numFmtId="49" fontId="0" fillId="0" borderId="0" xfId="0" applyNumberForma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49" fontId="0" fillId="0" borderId="3" xfId="0" applyNumberFormat="1" applyBorder="1" applyAlignment="1">
      <alignment horizontal="center"/>
    </xf>
    <xf numFmtId="0" fontId="0" fillId="0" borderId="0" xfId="0" applyFill="1"/>
    <xf numFmtId="49" fontId="0" fillId="0" borderId="2" xfId="0" applyNumberFormat="1" applyBorder="1"/>
    <xf numFmtId="49" fontId="0" fillId="0" borderId="4" xfId="0" applyNumberFormat="1" applyBorder="1"/>
    <xf numFmtId="0" fontId="0" fillId="0" borderId="0" xfId="0" applyNumberFormat="1"/>
    <xf numFmtId="49" fontId="1" fillId="0" borderId="0" xfId="0" applyNumberFormat="1" applyFont="1" applyBorder="1" applyAlignment="1">
      <alignment horizontal="center" vertical="center" wrapText="1"/>
    </xf>
  </cellXfs>
  <cellStyles count="1">
    <cellStyle name="Standard" xfId="0" builtinId="0"/>
  </cellStyles>
  <dxfs count="6"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DC690B-9281-4439-BCCB-0AEB2569A9A6}" name="Liste___Positionen_1" displayName="Liste___Positionen_1" ref="A1:C12" totalsRowShown="0">
  <autoFilter ref="A1:C12" xr:uid="{DBDC690B-9281-4439-BCCB-0AEB2569A9A6}"/>
  <tableColumns count="3">
    <tableColumn id="1" xr3:uid="{F2FE92D0-8F59-4FD4-97BB-216EE80E8DC4}" name="Bezeichnung" dataDxfId="5"/>
    <tableColumn id="2" xr3:uid="{B19BAFE3-E998-4B32-85DB-C7DD25388560}" name="Einzelpreis"/>
    <tableColumn id="3" xr3:uid="{A6231AE0-1B6A-4E12-8C01-A468C1677ADA}" name="Mengenbezeichnung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DF87BD-4B4A-46FB-9906-72AA92ADA101}" name="Liste___Firma_1" displayName="Liste___Firma_1" ref="A1:F3" totalsRowShown="0">
  <autoFilter ref="A1:F3" xr:uid="{75DF87BD-4B4A-46FB-9906-72AA92ADA101}"/>
  <tableColumns count="6">
    <tableColumn id="1" xr3:uid="{7491D19C-CA46-43E1-A1E6-197A2BB42CF7}" name="Name" dataDxfId="3"/>
    <tableColumn id="2" xr3:uid="{6D9BE490-E269-4B66-9F97-8AFD8892C326}" name="Straße" dataDxfId="2"/>
    <tableColumn id="3" xr3:uid="{00AE51F2-5491-4425-AF8F-631134227151}" name="Nr" dataDxfId="1"/>
    <tableColumn id="4" xr3:uid="{347B4045-3C48-4DBB-B203-B9C5A410D455}" name="PLZ"/>
    <tableColumn id="5" xr3:uid="{7F2AE545-467D-42E6-B1A1-CAE43420F7FC}" name="Ort" dataDxfId="0"/>
    <tableColumn id="6" xr3:uid="{34832A3B-897A-41AD-81DB-2172498E2E55}" name="ATU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935B8-3097-4B41-8CDD-183D5F8D2F85}">
  <dimension ref="A1:L2"/>
  <sheetViews>
    <sheetView workbookViewId="0">
      <selection activeCell="F2" sqref="F2"/>
    </sheetView>
  </sheetViews>
  <sheetFormatPr baseColWidth="10" defaultColWidth="8.75" defaultRowHeight="14.25"/>
  <cols>
    <col min="1" max="1" width="22.5" style="5" customWidth="1"/>
    <col min="2" max="2" width="13.75" style="5" customWidth="1"/>
    <col min="3" max="3" width="8.5" style="5" customWidth="1"/>
    <col min="4" max="4" width="18" style="5" customWidth="1"/>
    <col min="5" max="5" width="20" style="3" customWidth="1"/>
    <col min="6" max="6" width="17.125" style="5" customWidth="1"/>
    <col min="7" max="12" width="9" style="5"/>
  </cols>
  <sheetData>
    <row r="1" spans="1:6" ht="15">
      <c r="A1" s="4" t="s">
        <v>0</v>
      </c>
      <c r="B1" s="4" t="s">
        <v>1</v>
      </c>
      <c r="C1" s="4" t="s">
        <v>9</v>
      </c>
      <c r="D1" s="4" t="s">
        <v>2</v>
      </c>
      <c r="E1" s="1" t="s">
        <v>15</v>
      </c>
      <c r="F1" s="4" t="s">
        <v>16</v>
      </c>
    </row>
    <row r="2" spans="1:6">
      <c r="A2" s="14" t="s">
        <v>23</v>
      </c>
      <c r="B2" s="14" t="s">
        <v>24</v>
      </c>
      <c r="C2" s="16">
        <v>2320</v>
      </c>
      <c r="D2" s="14" t="s">
        <v>25</v>
      </c>
      <c r="E2" s="2" t="s">
        <v>18</v>
      </c>
      <c r="F2" s="6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830F-69C5-4E65-8EBB-8EB12C0E215B}">
  <dimension ref="A1:H66"/>
  <sheetViews>
    <sheetView tabSelected="1" workbookViewId="0">
      <selection activeCell="A6" sqref="A6"/>
    </sheetView>
  </sheetViews>
  <sheetFormatPr baseColWidth="10" defaultColWidth="8.75" defaultRowHeight="14.25"/>
  <cols>
    <col min="1" max="1" width="16.5" style="5" customWidth="1"/>
    <col min="2" max="2" width="22" style="5" customWidth="1"/>
    <col min="3" max="3" width="29.25" style="5" customWidth="1"/>
    <col min="4" max="4" width="31.375" style="12" customWidth="1"/>
    <col min="5" max="5" width="50.875" style="24" customWidth="1"/>
    <col min="6" max="6" width="19.5" customWidth="1"/>
    <col min="7" max="7" width="18" customWidth="1"/>
    <col min="8" max="8" width="15.75" customWidth="1"/>
    <col min="9" max="9" width="13.75" customWidth="1"/>
  </cols>
  <sheetData>
    <row r="1" spans="1:8" ht="15">
      <c r="A1" s="4" t="s">
        <v>3</v>
      </c>
      <c r="B1" s="4" t="s">
        <v>39</v>
      </c>
      <c r="C1" s="4" t="s">
        <v>4</v>
      </c>
      <c r="D1" s="10" t="s">
        <v>5</v>
      </c>
      <c r="E1" s="18" t="s">
        <v>17</v>
      </c>
      <c r="G1" s="27"/>
      <c r="H1" s="13"/>
    </row>
    <row r="2" spans="1:8">
      <c r="A2" s="21">
        <v>2</v>
      </c>
      <c r="B2" t="str">
        <f t="shared" ref="B2:B33" si="0">INDEX(Mengenbezeichnung,MATCH(C2,Bezeichnung,0))</f>
        <v>Std</v>
      </c>
      <c r="C2" s="20" t="s">
        <v>34</v>
      </c>
      <c r="D2" s="11">
        <f t="shared" ref="D2:D33" si="1">INDEX(Einzelpreis,MATCH(C2,Bezeichnung,0))</f>
        <v>60</v>
      </c>
      <c r="E2" s="22"/>
      <c r="G2" s="20"/>
      <c r="H2" s="17"/>
    </row>
    <row r="3" spans="1:8">
      <c r="A3" s="21">
        <v>2</v>
      </c>
      <c r="B3" t="str">
        <f t="shared" si="0"/>
        <v>lfm</v>
      </c>
      <c r="C3" s="20" t="s">
        <v>28</v>
      </c>
      <c r="D3" s="11">
        <f t="shared" si="1"/>
        <v>40</v>
      </c>
      <c r="E3" s="25"/>
      <c r="G3" s="20"/>
      <c r="H3" s="17"/>
    </row>
    <row r="4" spans="1:8">
      <c r="A4" s="21">
        <v>2</v>
      </c>
      <c r="B4" t="str">
        <f t="shared" si="0"/>
        <v>lfm</v>
      </c>
      <c r="C4" s="20" t="s">
        <v>28</v>
      </c>
      <c r="D4" s="11">
        <f t="shared" si="1"/>
        <v>40</v>
      </c>
      <c r="G4" s="20"/>
      <c r="H4" s="17"/>
    </row>
    <row r="5" spans="1:8">
      <c r="A5" s="21"/>
      <c r="B5" t="e">
        <f t="shared" si="0"/>
        <v>#N/A</v>
      </c>
      <c r="C5" s="20"/>
      <c r="D5" s="11" t="e">
        <f t="shared" si="1"/>
        <v>#N/A</v>
      </c>
      <c r="G5" s="20"/>
      <c r="H5" s="17"/>
    </row>
    <row r="6" spans="1:8">
      <c r="A6" s="8"/>
      <c r="B6" t="e">
        <f t="shared" si="0"/>
        <v>#N/A</v>
      </c>
      <c r="C6" s="20"/>
      <c r="D6" s="11" t="e">
        <f t="shared" si="1"/>
        <v>#N/A</v>
      </c>
      <c r="G6" s="20"/>
      <c r="H6" s="17"/>
    </row>
    <row r="7" spans="1:8">
      <c r="A7" s="8"/>
      <c r="B7" t="e">
        <f t="shared" si="0"/>
        <v>#N/A</v>
      </c>
      <c r="C7" s="20"/>
      <c r="D7" s="11" t="e">
        <f t="shared" si="1"/>
        <v>#N/A</v>
      </c>
      <c r="G7" s="20"/>
      <c r="H7" s="17"/>
    </row>
    <row r="8" spans="1:8">
      <c r="A8" s="8"/>
      <c r="B8" t="e">
        <f t="shared" si="0"/>
        <v>#N/A</v>
      </c>
      <c r="C8" s="20"/>
      <c r="D8" s="11" t="e">
        <f t="shared" si="1"/>
        <v>#N/A</v>
      </c>
      <c r="G8" s="20"/>
      <c r="H8" s="17"/>
    </row>
    <row r="9" spans="1:8">
      <c r="A9" s="8"/>
      <c r="B9" t="e">
        <f t="shared" si="0"/>
        <v>#N/A</v>
      </c>
      <c r="C9" s="20"/>
      <c r="D9" s="11" t="e">
        <f t="shared" si="1"/>
        <v>#N/A</v>
      </c>
      <c r="G9" s="20"/>
      <c r="H9" s="17"/>
    </row>
    <row r="10" spans="1:8">
      <c r="A10" s="8"/>
      <c r="B10" t="e">
        <f t="shared" si="0"/>
        <v>#N/A</v>
      </c>
      <c r="C10" s="20"/>
      <c r="D10" s="11" t="e">
        <f t="shared" si="1"/>
        <v>#N/A</v>
      </c>
      <c r="G10" s="20"/>
      <c r="H10" s="17"/>
    </row>
    <row r="11" spans="1:8">
      <c r="A11" s="8"/>
      <c r="B11" t="e">
        <f t="shared" si="0"/>
        <v>#N/A</v>
      </c>
      <c r="C11" s="20"/>
      <c r="D11" s="11" t="e">
        <f t="shared" si="1"/>
        <v>#N/A</v>
      </c>
      <c r="G11" s="20"/>
      <c r="H11" s="17"/>
    </row>
    <row r="12" spans="1:8">
      <c r="A12" s="8"/>
      <c r="B12" t="e">
        <f t="shared" si="0"/>
        <v>#N/A</v>
      </c>
      <c r="C12" s="20"/>
      <c r="D12" s="11" t="e">
        <f t="shared" si="1"/>
        <v>#N/A</v>
      </c>
      <c r="G12" s="20"/>
      <c r="H12" s="17"/>
    </row>
    <row r="13" spans="1:8">
      <c r="A13" s="8"/>
      <c r="B13" t="e">
        <f t="shared" si="0"/>
        <v>#N/A</v>
      </c>
      <c r="C13" s="20"/>
      <c r="D13" s="11" t="e">
        <f t="shared" si="1"/>
        <v>#N/A</v>
      </c>
      <c r="F13" s="20"/>
      <c r="G13" s="17"/>
    </row>
    <row r="14" spans="1:8">
      <c r="A14" s="8"/>
      <c r="B14" t="e">
        <f t="shared" si="0"/>
        <v>#N/A</v>
      </c>
      <c r="C14" s="20"/>
      <c r="D14" s="11" t="e">
        <f t="shared" si="1"/>
        <v>#N/A</v>
      </c>
      <c r="F14" s="20"/>
      <c r="G14" s="17"/>
    </row>
    <row r="15" spans="1:8">
      <c r="A15" s="8"/>
      <c r="B15" t="e">
        <f t="shared" si="0"/>
        <v>#N/A</v>
      </c>
      <c r="C15" s="20"/>
      <c r="D15" s="11" t="e">
        <f t="shared" si="1"/>
        <v>#N/A</v>
      </c>
      <c r="F15" s="20"/>
      <c r="G15" s="17"/>
    </row>
    <row r="16" spans="1:8">
      <c r="A16" s="8"/>
      <c r="B16" t="e">
        <f t="shared" si="0"/>
        <v>#N/A</v>
      </c>
      <c r="C16" s="20"/>
      <c r="D16" s="11" t="e">
        <f t="shared" si="1"/>
        <v>#N/A</v>
      </c>
      <c r="F16" s="20"/>
      <c r="G16" s="19"/>
    </row>
    <row r="17" spans="1:7">
      <c r="A17" s="8"/>
      <c r="B17" t="e">
        <f t="shared" si="0"/>
        <v>#N/A</v>
      </c>
      <c r="C17" s="20"/>
      <c r="D17" s="11" t="e">
        <f t="shared" si="1"/>
        <v>#N/A</v>
      </c>
      <c r="F17" s="20"/>
      <c r="G17" s="19"/>
    </row>
    <row r="18" spans="1:7">
      <c r="A18" s="8"/>
      <c r="B18" t="e">
        <f t="shared" si="0"/>
        <v>#N/A</v>
      </c>
      <c r="C18" s="20"/>
      <c r="D18" s="11" t="e">
        <f t="shared" si="1"/>
        <v>#N/A</v>
      </c>
      <c r="F18" s="20"/>
      <c r="G18" s="19"/>
    </row>
    <row r="19" spans="1:7">
      <c r="A19" s="8"/>
      <c r="B19" t="e">
        <f t="shared" si="0"/>
        <v>#N/A</v>
      </c>
      <c r="C19" s="20"/>
      <c r="D19" s="11" t="e">
        <f t="shared" si="1"/>
        <v>#N/A</v>
      </c>
      <c r="F19" s="20"/>
      <c r="G19" s="19"/>
    </row>
    <row r="20" spans="1:7">
      <c r="A20" s="8"/>
      <c r="B20" t="e">
        <f t="shared" si="0"/>
        <v>#N/A</v>
      </c>
      <c r="C20" s="20"/>
      <c r="D20" s="11" t="e">
        <f t="shared" si="1"/>
        <v>#N/A</v>
      </c>
      <c r="F20" s="20"/>
      <c r="G20" s="19"/>
    </row>
    <row r="21" spans="1:7">
      <c r="A21" s="8"/>
      <c r="B21" t="e">
        <f t="shared" si="0"/>
        <v>#N/A</v>
      </c>
      <c r="C21" s="20"/>
      <c r="D21" s="11" t="e">
        <f t="shared" si="1"/>
        <v>#N/A</v>
      </c>
      <c r="F21" s="20"/>
      <c r="G21" s="19"/>
    </row>
    <row r="22" spans="1:7">
      <c r="A22" s="8"/>
      <c r="B22" t="e">
        <f t="shared" si="0"/>
        <v>#N/A</v>
      </c>
      <c r="C22" s="20"/>
      <c r="D22" s="11" t="e">
        <f t="shared" si="1"/>
        <v>#N/A</v>
      </c>
      <c r="F22" s="20"/>
      <c r="G22" s="19"/>
    </row>
    <row r="23" spans="1:7">
      <c r="A23" s="8"/>
      <c r="B23" t="e">
        <f t="shared" si="0"/>
        <v>#N/A</v>
      </c>
      <c r="C23" s="20"/>
      <c r="D23" s="11" t="e">
        <f t="shared" si="1"/>
        <v>#N/A</v>
      </c>
      <c r="F23" s="20"/>
      <c r="G23" s="19"/>
    </row>
    <row r="24" spans="1:7">
      <c r="A24" s="8"/>
      <c r="B24" t="e">
        <f t="shared" si="0"/>
        <v>#N/A</v>
      </c>
      <c r="C24" s="20"/>
      <c r="D24" s="11" t="e">
        <f t="shared" si="1"/>
        <v>#N/A</v>
      </c>
      <c r="F24" s="20"/>
      <c r="G24" s="19"/>
    </row>
    <row r="25" spans="1:7">
      <c r="A25" s="8"/>
      <c r="B25" t="e">
        <f t="shared" si="0"/>
        <v>#N/A</v>
      </c>
      <c r="C25" s="20"/>
      <c r="D25" s="11" t="e">
        <f t="shared" si="1"/>
        <v>#N/A</v>
      </c>
      <c r="F25" s="20"/>
      <c r="G25" s="19"/>
    </row>
    <row r="26" spans="1:7">
      <c r="A26" s="8"/>
      <c r="B26" t="e">
        <f t="shared" si="0"/>
        <v>#N/A</v>
      </c>
      <c r="C26" s="20"/>
      <c r="D26" s="11" t="e">
        <f t="shared" si="1"/>
        <v>#N/A</v>
      </c>
      <c r="F26" s="20"/>
      <c r="G26" s="19"/>
    </row>
    <row r="27" spans="1:7">
      <c r="A27" s="8"/>
      <c r="B27" t="e">
        <f t="shared" si="0"/>
        <v>#N/A</v>
      </c>
      <c r="C27" s="20"/>
      <c r="D27" s="11" t="e">
        <f t="shared" si="1"/>
        <v>#N/A</v>
      </c>
      <c r="F27" s="20"/>
      <c r="G27" s="19"/>
    </row>
    <row r="28" spans="1:7">
      <c r="A28" s="8"/>
      <c r="B28" t="e">
        <f t="shared" si="0"/>
        <v>#N/A</v>
      </c>
      <c r="C28" s="20"/>
      <c r="D28" s="11" t="e">
        <f t="shared" si="1"/>
        <v>#N/A</v>
      </c>
      <c r="F28" s="20"/>
      <c r="G28" s="19"/>
    </row>
    <row r="29" spans="1:7">
      <c r="A29" s="8"/>
      <c r="B29" t="e">
        <f t="shared" si="0"/>
        <v>#N/A</v>
      </c>
      <c r="C29" s="20"/>
      <c r="D29" s="11" t="e">
        <f t="shared" si="1"/>
        <v>#N/A</v>
      </c>
      <c r="F29" s="20"/>
      <c r="G29" s="19"/>
    </row>
    <row r="30" spans="1:7">
      <c r="A30" s="8"/>
      <c r="B30" t="e">
        <f t="shared" si="0"/>
        <v>#N/A</v>
      </c>
      <c r="C30" s="20"/>
      <c r="D30" s="11" t="e">
        <f t="shared" si="1"/>
        <v>#N/A</v>
      </c>
      <c r="F30" s="20"/>
      <c r="G30" s="19"/>
    </row>
    <row r="31" spans="1:7">
      <c r="A31" s="8"/>
      <c r="B31" t="e">
        <f t="shared" si="0"/>
        <v>#N/A</v>
      </c>
      <c r="C31" s="20"/>
      <c r="D31" s="11" t="e">
        <f t="shared" si="1"/>
        <v>#N/A</v>
      </c>
      <c r="F31" s="20"/>
      <c r="G31" s="19"/>
    </row>
    <row r="32" spans="1:7">
      <c r="A32" s="8"/>
      <c r="B32" t="e">
        <f t="shared" si="0"/>
        <v>#N/A</v>
      </c>
      <c r="C32" s="20"/>
      <c r="D32" s="11" t="e">
        <f t="shared" si="1"/>
        <v>#N/A</v>
      </c>
      <c r="F32" s="20"/>
      <c r="G32" s="19"/>
    </row>
    <row r="33" spans="1:7">
      <c r="A33" s="8"/>
      <c r="B33" t="e">
        <f t="shared" si="0"/>
        <v>#N/A</v>
      </c>
      <c r="C33" s="7"/>
      <c r="D33" s="11" t="e">
        <f t="shared" si="1"/>
        <v>#N/A</v>
      </c>
      <c r="F33" s="20"/>
      <c r="G33" s="19"/>
    </row>
    <row r="34" spans="1:7">
      <c r="A34" s="8"/>
      <c r="B34" t="e">
        <f t="shared" ref="B34:B65" si="2">INDEX(Mengenbezeichnung,MATCH(C34,Bezeichnung,0))</f>
        <v>#N/A</v>
      </c>
      <c r="C34" s="7"/>
      <c r="D34" s="11" t="e">
        <f t="shared" ref="D34:D65" si="3">INDEX(Einzelpreis,MATCH(C34,Bezeichnung,0))</f>
        <v>#N/A</v>
      </c>
      <c r="F34" s="20"/>
      <c r="G34" s="19"/>
    </row>
    <row r="35" spans="1:7">
      <c r="A35" s="8"/>
      <c r="B35" t="e">
        <f t="shared" si="2"/>
        <v>#N/A</v>
      </c>
      <c r="C35" s="7"/>
      <c r="D35" s="11" t="e">
        <f t="shared" si="3"/>
        <v>#N/A</v>
      </c>
      <c r="F35" s="20"/>
      <c r="G35" s="19"/>
    </row>
    <row r="36" spans="1:7">
      <c r="A36" s="8"/>
      <c r="B36" t="e">
        <f t="shared" si="2"/>
        <v>#N/A</v>
      </c>
      <c r="C36" s="7"/>
      <c r="D36" s="11" t="e">
        <f t="shared" si="3"/>
        <v>#N/A</v>
      </c>
      <c r="F36" s="20"/>
      <c r="G36" s="19"/>
    </row>
    <row r="37" spans="1:7">
      <c r="A37" s="8"/>
      <c r="B37" t="e">
        <f t="shared" si="2"/>
        <v>#N/A</v>
      </c>
      <c r="C37" s="7"/>
      <c r="D37" s="11" t="e">
        <f t="shared" si="3"/>
        <v>#N/A</v>
      </c>
      <c r="F37" s="20"/>
      <c r="G37" s="19"/>
    </row>
    <row r="38" spans="1:7">
      <c r="A38" s="9"/>
      <c r="B38" t="e">
        <f t="shared" si="2"/>
        <v>#N/A</v>
      </c>
      <c r="D38" s="11" t="e">
        <f t="shared" si="3"/>
        <v>#N/A</v>
      </c>
      <c r="F38" s="20"/>
      <c r="G38" s="19"/>
    </row>
    <row r="39" spans="1:7">
      <c r="A39" s="9"/>
      <c r="B39" t="e">
        <f t="shared" si="2"/>
        <v>#N/A</v>
      </c>
      <c r="D39" s="11" t="e">
        <f t="shared" si="3"/>
        <v>#N/A</v>
      </c>
      <c r="F39" s="19"/>
      <c r="G39" s="19"/>
    </row>
    <row r="40" spans="1:7">
      <c r="A40" s="9"/>
      <c r="B40" t="e">
        <f t="shared" si="2"/>
        <v>#N/A</v>
      </c>
      <c r="D40" s="11" t="e">
        <f t="shared" si="3"/>
        <v>#N/A</v>
      </c>
      <c r="F40" s="19"/>
      <c r="G40" s="19"/>
    </row>
    <row r="41" spans="1:7">
      <c r="A41" s="9"/>
      <c r="B41" t="e">
        <f t="shared" si="2"/>
        <v>#N/A</v>
      </c>
      <c r="D41" s="11" t="e">
        <f t="shared" si="3"/>
        <v>#N/A</v>
      </c>
      <c r="F41" s="19"/>
      <c r="G41" s="19"/>
    </row>
    <row r="42" spans="1:7">
      <c r="A42" s="9"/>
      <c r="B42" t="e">
        <f t="shared" si="2"/>
        <v>#N/A</v>
      </c>
      <c r="D42" s="11" t="e">
        <f t="shared" si="3"/>
        <v>#N/A</v>
      </c>
      <c r="F42" s="19"/>
      <c r="G42" s="19"/>
    </row>
    <row r="43" spans="1:7">
      <c r="A43" s="9"/>
      <c r="B43" t="e">
        <f t="shared" si="2"/>
        <v>#N/A</v>
      </c>
      <c r="D43" s="11" t="e">
        <f t="shared" si="3"/>
        <v>#N/A</v>
      </c>
      <c r="F43" s="19"/>
      <c r="G43" s="19"/>
    </row>
    <row r="44" spans="1:7">
      <c r="A44" s="9"/>
      <c r="B44" t="e">
        <f t="shared" si="2"/>
        <v>#N/A</v>
      </c>
      <c r="D44" s="11" t="e">
        <f t="shared" si="3"/>
        <v>#N/A</v>
      </c>
      <c r="F44" s="19"/>
      <c r="G44" s="19"/>
    </row>
    <row r="45" spans="1:7">
      <c r="A45" s="9"/>
      <c r="B45" t="e">
        <f t="shared" si="2"/>
        <v>#N/A</v>
      </c>
      <c r="D45" s="11" t="e">
        <f t="shared" si="3"/>
        <v>#N/A</v>
      </c>
      <c r="F45" s="19"/>
      <c r="G45" s="19"/>
    </row>
    <row r="46" spans="1:7">
      <c r="A46" s="9"/>
      <c r="B46" t="e">
        <f t="shared" si="2"/>
        <v>#N/A</v>
      </c>
      <c r="D46" s="11" t="e">
        <f t="shared" si="3"/>
        <v>#N/A</v>
      </c>
      <c r="F46" s="19"/>
      <c r="G46" s="19"/>
    </row>
    <row r="47" spans="1:7">
      <c r="A47" s="9"/>
      <c r="B47" t="e">
        <f t="shared" si="2"/>
        <v>#N/A</v>
      </c>
      <c r="D47" s="11" t="e">
        <f t="shared" si="3"/>
        <v>#N/A</v>
      </c>
      <c r="F47" s="19"/>
      <c r="G47" s="19"/>
    </row>
    <row r="48" spans="1:7">
      <c r="A48" s="9"/>
      <c r="B48" t="e">
        <f t="shared" si="2"/>
        <v>#N/A</v>
      </c>
      <c r="D48" s="11" t="e">
        <f t="shared" si="3"/>
        <v>#N/A</v>
      </c>
      <c r="F48" s="19"/>
      <c r="G48" s="19"/>
    </row>
    <row r="49" spans="1:7">
      <c r="A49" s="9"/>
      <c r="B49" t="e">
        <f t="shared" si="2"/>
        <v>#N/A</v>
      </c>
      <c r="D49" s="11" t="e">
        <f t="shared" si="3"/>
        <v>#N/A</v>
      </c>
      <c r="F49" s="19"/>
      <c r="G49" s="19"/>
    </row>
    <row r="50" spans="1:7">
      <c r="A50" s="9"/>
      <c r="B50" t="e">
        <f t="shared" si="2"/>
        <v>#N/A</v>
      </c>
      <c r="D50" s="11" t="e">
        <f t="shared" si="3"/>
        <v>#N/A</v>
      </c>
      <c r="F50" s="19"/>
      <c r="G50" s="19"/>
    </row>
    <row r="51" spans="1:7">
      <c r="A51" s="9"/>
      <c r="B51" t="e">
        <f t="shared" si="2"/>
        <v>#N/A</v>
      </c>
      <c r="D51" s="11" t="e">
        <f t="shared" si="3"/>
        <v>#N/A</v>
      </c>
      <c r="F51" s="19"/>
      <c r="G51" s="19"/>
    </row>
    <row r="52" spans="1:7">
      <c r="A52" s="9"/>
      <c r="B52" t="e">
        <f t="shared" si="2"/>
        <v>#N/A</v>
      </c>
      <c r="D52" s="11" t="e">
        <f t="shared" si="3"/>
        <v>#N/A</v>
      </c>
      <c r="F52" s="19"/>
      <c r="G52" s="19"/>
    </row>
    <row r="53" spans="1:7">
      <c r="A53" s="9"/>
      <c r="B53" t="e">
        <f t="shared" si="2"/>
        <v>#N/A</v>
      </c>
      <c r="D53" s="11" t="e">
        <f t="shared" si="3"/>
        <v>#N/A</v>
      </c>
      <c r="F53" s="19"/>
      <c r="G53" s="19"/>
    </row>
    <row r="54" spans="1:7">
      <c r="A54" s="9"/>
      <c r="B54" t="e">
        <f t="shared" si="2"/>
        <v>#N/A</v>
      </c>
      <c r="D54" s="11" t="e">
        <f t="shared" si="3"/>
        <v>#N/A</v>
      </c>
      <c r="F54" s="19"/>
      <c r="G54" s="19"/>
    </row>
    <row r="55" spans="1:7">
      <c r="B55" t="e">
        <f t="shared" si="2"/>
        <v>#N/A</v>
      </c>
      <c r="D55" s="11" t="e">
        <f t="shared" si="3"/>
        <v>#N/A</v>
      </c>
      <c r="F55" s="19"/>
      <c r="G55" s="19"/>
    </row>
    <row r="56" spans="1:7">
      <c r="F56" s="19"/>
      <c r="G56" s="19"/>
    </row>
    <row r="57" spans="1:7">
      <c r="F57" s="19"/>
      <c r="G57" s="19"/>
    </row>
    <row r="58" spans="1:7">
      <c r="F58" s="19"/>
      <c r="G58" s="19"/>
    </row>
    <row r="59" spans="1:7">
      <c r="F59" s="19"/>
      <c r="G59" s="19"/>
    </row>
    <row r="60" spans="1:7">
      <c r="F60" s="19"/>
      <c r="G60" s="19"/>
    </row>
    <row r="61" spans="1:7">
      <c r="F61" s="19"/>
      <c r="G61" s="19"/>
    </row>
    <row r="62" spans="1:7">
      <c r="F62" s="19"/>
      <c r="G62" s="19"/>
    </row>
    <row r="63" spans="1:7">
      <c r="F63" s="19"/>
      <c r="G63" s="19"/>
    </row>
    <row r="64" spans="1:7">
      <c r="F64" s="19"/>
      <c r="G64" s="19"/>
    </row>
    <row r="65" spans="6:7">
      <c r="F65" s="19"/>
      <c r="G65" s="19"/>
    </row>
    <row r="66" spans="6:7">
      <c r="G66" s="19"/>
    </row>
  </sheetData>
  <phoneticPr fontId="3" type="noConversion"/>
  <dataValidations count="2">
    <dataValidation type="list" allowBlank="1" showInputMessage="1" showErrorMessage="1" sqref="B2:B55" xr:uid="{088A60C3-B731-4B29-B198-481B89745699}">
      <formula1>Mengenbezeichnung</formula1>
    </dataValidation>
    <dataValidation type="list" allowBlank="1" showInputMessage="1" showErrorMessage="1" sqref="C2:C32" xr:uid="{89239C6F-B793-42A5-988B-F64BC4689D2D}">
      <formula1>Bezeichnung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4892E-EAAE-4E2A-A10C-D0B2E199BE20}">
  <dimension ref="A1:N56"/>
  <sheetViews>
    <sheetView workbookViewId="0">
      <selection activeCell="A2" sqref="A2"/>
    </sheetView>
  </sheetViews>
  <sheetFormatPr baseColWidth="10" defaultColWidth="8.75" defaultRowHeight="14.25"/>
  <cols>
    <col min="1" max="1" width="42" style="5" customWidth="1"/>
    <col min="2" max="2" width="28.75" style="5" customWidth="1"/>
    <col min="3" max="3" width="20.125" style="5" customWidth="1"/>
    <col min="4" max="4" width="14.625" style="5" customWidth="1"/>
    <col min="5" max="5" width="19.375" style="5" customWidth="1"/>
    <col min="6" max="6" width="20.25" style="5" customWidth="1"/>
    <col min="7" max="7" width="63.5" customWidth="1"/>
    <col min="8" max="8" width="53.5" customWidth="1"/>
    <col min="9" max="9" width="40.125" customWidth="1"/>
    <col min="10" max="10" width="16.875" customWidth="1"/>
    <col min="11" max="11" width="13.625" customWidth="1"/>
    <col min="12" max="12" width="13.375" customWidth="1"/>
    <col min="13" max="13" width="16.875" customWidth="1"/>
  </cols>
  <sheetData>
    <row r="1" spans="1:14" ht="15">
      <c r="A1" s="4" t="s">
        <v>10</v>
      </c>
      <c r="B1" s="4" t="s">
        <v>0</v>
      </c>
      <c r="C1" s="4" t="s">
        <v>1</v>
      </c>
      <c r="D1" s="4" t="s">
        <v>9</v>
      </c>
      <c r="E1" s="4" t="s">
        <v>2</v>
      </c>
      <c r="F1" s="4" t="s">
        <v>14</v>
      </c>
    </row>
    <row r="2" spans="1:14">
      <c r="A2" s="15" t="s">
        <v>11</v>
      </c>
      <c r="B2" s="15" t="str">
        <f>INDEX(Straße,MATCH(A2,Name,0))</f>
        <v>Große Schiffgasse</v>
      </c>
      <c r="C2" s="15">
        <f>INDEX(Nr,MATCH(A2,Name,0))</f>
        <v>2</v>
      </c>
      <c r="D2" s="15">
        <f>INDEX(PLZ,MATCH(A2,Name,0))</f>
        <v>1020</v>
      </c>
      <c r="E2" s="15" t="str">
        <f>INDEX(Ort,MATCH(A2,Name,0))</f>
        <v>Wien</v>
      </c>
      <c r="F2" s="15">
        <f>INDEX(ATU,MATCH(A2,Name,0))</f>
        <v>15586603</v>
      </c>
    </row>
    <row r="3" spans="1:14" s="23" customFormat="1">
      <c r="A3" s="5"/>
      <c r="B3" s="5"/>
      <c r="C3" s="5"/>
      <c r="D3" s="5"/>
      <c r="E3" s="5"/>
      <c r="F3" s="5"/>
      <c r="G3"/>
      <c r="H3"/>
      <c r="I3"/>
      <c r="J3"/>
      <c r="K3"/>
      <c r="L3"/>
      <c r="M3"/>
      <c r="N3"/>
    </row>
    <row r="7" spans="1:14">
      <c r="A7" s="7"/>
      <c r="B7" s="7"/>
      <c r="C7" s="7"/>
      <c r="D7" s="7"/>
      <c r="E7" s="7"/>
      <c r="F7" s="7"/>
    </row>
    <row r="8" spans="1:14">
      <c r="A8" s="7"/>
      <c r="B8" s="7"/>
      <c r="C8" s="7"/>
      <c r="D8" s="7"/>
      <c r="E8" s="7"/>
      <c r="F8" s="7"/>
    </row>
    <row r="9" spans="1:14">
      <c r="A9" s="7"/>
      <c r="B9" s="7"/>
      <c r="C9" s="7"/>
      <c r="D9" s="7"/>
      <c r="E9" s="7"/>
      <c r="F9" s="7"/>
    </row>
    <row r="10" spans="1:14">
      <c r="A10" s="7"/>
      <c r="B10" s="7"/>
      <c r="C10" s="7"/>
      <c r="D10" s="7"/>
      <c r="E10" s="7"/>
      <c r="F10" s="7"/>
    </row>
    <row r="11" spans="1:14">
      <c r="A11" s="7"/>
      <c r="B11" s="7"/>
      <c r="C11" s="7"/>
      <c r="D11" s="7"/>
      <c r="E11" s="7"/>
      <c r="F11" s="7"/>
    </row>
    <row r="12" spans="1:14">
      <c r="A12" s="7"/>
      <c r="B12" s="7"/>
      <c r="C12" s="7"/>
      <c r="D12" s="7"/>
      <c r="E12" s="7"/>
      <c r="F12" s="7"/>
    </row>
    <row r="13" spans="1:14">
      <c r="A13" s="7"/>
      <c r="B13" s="7"/>
      <c r="C13" s="7"/>
      <c r="D13" s="7"/>
      <c r="E13" s="7"/>
      <c r="F13" s="7"/>
    </row>
    <row r="14" spans="1:14">
      <c r="A14" s="7"/>
      <c r="B14" s="7"/>
      <c r="C14" s="7"/>
      <c r="D14" s="7"/>
      <c r="E14" s="7"/>
      <c r="F14" s="7"/>
    </row>
    <row r="15" spans="1:14">
      <c r="A15" s="7"/>
      <c r="B15" s="7"/>
      <c r="C15" s="7"/>
      <c r="D15" s="7"/>
      <c r="E15" s="7"/>
      <c r="F15" s="7"/>
    </row>
    <row r="16" spans="1:14">
      <c r="A16" s="7"/>
      <c r="B16" s="7"/>
      <c r="C16" s="7"/>
      <c r="D16" s="7"/>
      <c r="E16" s="7"/>
      <c r="F16" s="7"/>
    </row>
    <row r="17" spans="1:6">
      <c r="A17" s="7"/>
      <c r="B17" s="7"/>
      <c r="C17" s="7"/>
      <c r="D17" s="7"/>
      <c r="E17" s="7"/>
      <c r="F17" s="7"/>
    </row>
    <row r="18" spans="1:6">
      <c r="A18" s="7"/>
      <c r="B18" s="7"/>
      <c r="C18" s="7"/>
      <c r="D18" s="7"/>
      <c r="E18" s="7"/>
      <c r="F18" s="7"/>
    </row>
    <row r="19" spans="1:6">
      <c r="A19" s="7"/>
      <c r="B19" s="7"/>
      <c r="C19" s="7"/>
      <c r="D19" s="7"/>
      <c r="E19" s="7"/>
      <c r="F19" s="7"/>
    </row>
    <row r="20" spans="1:6">
      <c r="A20" s="7"/>
      <c r="B20" s="7"/>
      <c r="C20" s="7"/>
      <c r="D20" s="7"/>
      <c r="E20" s="7"/>
      <c r="F20" s="7"/>
    </row>
    <row r="21" spans="1:6">
      <c r="A21" s="7"/>
      <c r="B21" s="7"/>
      <c r="C21" s="7"/>
      <c r="D21" s="7"/>
      <c r="E21" s="7"/>
      <c r="F21" s="7"/>
    </row>
    <row r="22" spans="1:6">
      <c r="A22" s="7"/>
      <c r="B22" s="7"/>
      <c r="C22" s="7"/>
      <c r="D22" s="7"/>
      <c r="E22" s="7"/>
      <c r="F22" s="7"/>
    </row>
    <row r="23" spans="1:6">
      <c r="A23" s="7"/>
      <c r="B23" s="7"/>
      <c r="C23" s="7"/>
      <c r="D23" s="7"/>
      <c r="E23" s="7"/>
      <c r="F23" s="7"/>
    </row>
    <row r="24" spans="1:6">
      <c r="A24" s="7"/>
      <c r="B24" s="7"/>
      <c r="C24" s="7"/>
      <c r="D24" s="7"/>
      <c r="E24" s="7"/>
      <c r="F24" s="7"/>
    </row>
    <row r="25" spans="1:6">
      <c r="A25" s="7"/>
      <c r="B25" s="7"/>
      <c r="C25" s="7"/>
      <c r="D25" s="7"/>
      <c r="E25" s="7"/>
      <c r="F25" s="7"/>
    </row>
    <row r="26" spans="1:6">
      <c r="A26" s="7"/>
      <c r="B26" s="7"/>
      <c r="C26" s="7"/>
      <c r="D26" s="7"/>
      <c r="E26" s="7"/>
      <c r="F26" s="7"/>
    </row>
    <row r="27" spans="1:6">
      <c r="A27" s="7"/>
      <c r="B27" s="7"/>
      <c r="C27" s="7"/>
      <c r="D27" s="7"/>
      <c r="E27" s="7"/>
      <c r="F27" s="7"/>
    </row>
    <row r="28" spans="1:6">
      <c r="A28" s="7"/>
      <c r="B28" s="7"/>
      <c r="C28" s="7"/>
      <c r="D28" s="7"/>
      <c r="E28" s="7"/>
      <c r="F28" s="7"/>
    </row>
    <row r="29" spans="1:6">
      <c r="A29" s="7"/>
      <c r="B29" s="7"/>
      <c r="C29" s="7"/>
      <c r="D29" s="7"/>
      <c r="E29" s="7"/>
      <c r="F29" s="7"/>
    </row>
    <row r="30" spans="1:6">
      <c r="A30" s="7"/>
      <c r="B30" s="7"/>
      <c r="C30" s="7"/>
      <c r="D30" s="7"/>
      <c r="E30" s="7"/>
      <c r="F30" s="7"/>
    </row>
    <row r="31" spans="1:6">
      <c r="A31" s="7"/>
      <c r="B31" s="7"/>
      <c r="C31" s="7"/>
      <c r="D31" s="7"/>
      <c r="E31" s="7"/>
      <c r="F31" s="7"/>
    </row>
    <row r="32" spans="1:6">
      <c r="A32" s="7"/>
      <c r="B32" s="7"/>
      <c r="C32" s="7"/>
      <c r="D32" s="7"/>
      <c r="E32" s="7"/>
      <c r="F32" s="7"/>
    </row>
    <row r="33" spans="1:6">
      <c r="A33" s="7"/>
      <c r="B33" s="7"/>
      <c r="C33" s="7"/>
      <c r="D33" s="7"/>
      <c r="E33" s="7"/>
      <c r="F33" s="7"/>
    </row>
    <row r="34" spans="1:6">
      <c r="A34" s="7"/>
      <c r="B34" s="7"/>
      <c r="C34" s="7"/>
      <c r="D34" s="7"/>
      <c r="E34" s="7"/>
      <c r="F34" s="7"/>
    </row>
    <row r="35" spans="1:6">
      <c r="A35" s="7"/>
      <c r="B35" s="7"/>
      <c r="C35" s="7"/>
      <c r="D35" s="7"/>
      <c r="E35" s="7"/>
      <c r="F35" s="7"/>
    </row>
    <row r="36" spans="1:6">
      <c r="A36" s="7"/>
      <c r="B36" s="7"/>
      <c r="C36" s="7"/>
      <c r="D36" s="7"/>
      <c r="E36" s="7"/>
      <c r="F36" s="7"/>
    </row>
    <row r="37" spans="1:6">
      <c r="A37" s="7"/>
      <c r="B37" s="7"/>
      <c r="C37" s="7"/>
      <c r="D37" s="7"/>
      <c r="E37" s="7"/>
      <c r="F37" s="7"/>
    </row>
    <row r="38" spans="1:6">
      <c r="A38" s="7"/>
      <c r="B38" s="7"/>
      <c r="C38" s="7"/>
      <c r="D38" s="7"/>
      <c r="E38" s="7"/>
      <c r="F38" s="7"/>
    </row>
    <row r="39" spans="1:6">
      <c r="A39" s="7"/>
      <c r="B39" s="7"/>
      <c r="C39" s="7"/>
      <c r="D39" s="7"/>
      <c r="E39" s="7"/>
      <c r="F39" s="7"/>
    </row>
    <row r="40" spans="1:6">
      <c r="A40" s="7"/>
      <c r="B40" s="7"/>
      <c r="C40" s="7"/>
      <c r="D40" s="7"/>
      <c r="E40" s="7"/>
      <c r="F40" s="7"/>
    </row>
    <row r="41" spans="1:6">
      <c r="A41" s="7"/>
      <c r="B41" s="7"/>
      <c r="C41" s="7"/>
      <c r="D41" s="7"/>
      <c r="E41" s="7"/>
      <c r="F41" s="7"/>
    </row>
    <row r="42" spans="1:6">
      <c r="A42" s="7"/>
      <c r="B42" s="7"/>
      <c r="C42" s="7"/>
      <c r="D42" s="7"/>
      <c r="E42" s="7"/>
      <c r="F42" s="7"/>
    </row>
    <row r="43" spans="1:6">
      <c r="A43" s="7"/>
      <c r="B43" s="7"/>
      <c r="C43" s="7"/>
      <c r="D43" s="7"/>
      <c r="E43" s="7"/>
      <c r="F43" s="7"/>
    </row>
    <row r="44" spans="1:6">
      <c r="A44" s="7"/>
      <c r="B44" s="7"/>
      <c r="C44" s="7"/>
      <c r="D44" s="7"/>
      <c r="E44" s="7"/>
      <c r="F44" s="7"/>
    </row>
    <row r="45" spans="1:6">
      <c r="A45" s="7"/>
      <c r="B45" s="7"/>
      <c r="C45" s="7"/>
      <c r="D45" s="7"/>
      <c r="E45" s="7"/>
      <c r="F45" s="7"/>
    </row>
    <row r="46" spans="1:6">
      <c r="A46" s="7"/>
      <c r="B46" s="7"/>
      <c r="C46" s="7"/>
      <c r="D46" s="7"/>
      <c r="E46" s="7"/>
      <c r="F46" s="7"/>
    </row>
    <row r="47" spans="1:6">
      <c r="A47" s="7"/>
      <c r="B47" s="7"/>
      <c r="C47" s="7"/>
      <c r="D47" s="7"/>
      <c r="E47" s="7"/>
      <c r="F47" s="7"/>
    </row>
    <row r="48" spans="1:6">
      <c r="A48" s="7"/>
      <c r="B48" s="7"/>
      <c r="C48" s="7"/>
      <c r="D48" s="7"/>
      <c r="E48" s="7"/>
      <c r="F48" s="7"/>
    </row>
    <row r="49" spans="1:6">
      <c r="A49" s="7"/>
      <c r="B49" s="7"/>
      <c r="C49" s="7"/>
      <c r="D49" s="7"/>
      <c r="E49" s="7"/>
      <c r="F49" s="7"/>
    </row>
    <row r="50" spans="1:6">
      <c r="A50" s="7"/>
      <c r="B50" s="7"/>
      <c r="C50" s="7"/>
      <c r="D50" s="7"/>
      <c r="E50" s="7"/>
      <c r="F50" s="7"/>
    </row>
    <row r="51" spans="1:6">
      <c r="A51" s="7"/>
      <c r="B51" s="7"/>
      <c r="C51" s="7"/>
      <c r="D51" s="7"/>
      <c r="E51" s="7"/>
      <c r="F51" s="7"/>
    </row>
    <row r="52" spans="1:6">
      <c r="A52" s="7"/>
      <c r="B52" s="7"/>
      <c r="C52" s="7"/>
      <c r="D52" s="7"/>
      <c r="E52" s="7"/>
      <c r="F52" s="7"/>
    </row>
    <row r="53" spans="1:6">
      <c r="A53" s="7"/>
      <c r="B53" s="7"/>
      <c r="C53" s="7"/>
      <c r="D53" s="7"/>
      <c r="E53" s="7"/>
      <c r="F53" s="7"/>
    </row>
    <row r="54" spans="1:6">
      <c r="A54" s="7"/>
      <c r="B54" s="7"/>
      <c r="C54" s="7"/>
      <c r="D54" s="7"/>
      <c r="E54" s="7"/>
      <c r="F54" s="7"/>
    </row>
    <row r="55" spans="1:6">
      <c r="A55" s="7"/>
      <c r="B55" s="7"/>
      <c r="C55" s="7"/>
      <c r="D55" s="7"/>
      <c r="E55" s="7"/>
      <c r="F55" s="7"/>
    </row>
    <row r="56" spans="1:6">
      <c r="A56" s="7"/>
      <c r="B56" s="7"/>
      <c r="C56" s="7"/>
      <c r="D56" s="7"/>
      <c r="E56" s="7"/>
      <c r="F56" s="7"/>
    </row>
  </sheetData>
  <phoneticPr fontId="3" type="noConversion"/>
  <dataValidations count="2">
    <dataValidation type="list" allowBlank="1" showInputMessage="1" showErrorMessage="1" sqref="A2" xr:uid="{CD62A66B-88ED-4589-8234-1A6C9904BA2D}">
      <formula1>Name</formula1>
    </dataValidation>
    <dataValidation type="custom" allowBlank="1" showInputMessage="1" showErrorMessage="1" sqref="B2:C2" xr:uid="{490B07F5-CF2D-4EB2-98BD-A39FE3020A00}">
      <formula1>1+1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8A6F1-A068-4761-A8D0-52B0C5EAC390}">
  <dimension ref="A1:C12"/>
  <sheetViews>
    <sheetView workbookViewId="0">
      <selection activeCell="B1" sqref="B1"/>
    </sheetView>
  </sheetViews>
  <sheetFormatPr baseColWidth="10" defaultRowHeight="14.25"/>
  <cols>
    <col min="1" max="1" width="20" bestFit="1" customWidth="1"/>
    <col min="2" max="2" width="12.875" bestFit="1" customWidth="1"/>
    <col min="3" max="3" width="21.75" bestFit="1" customWidth="1"/>
  </cols>
  <sheetData>
    <row r="1" spans="1:3">
      <c r="A1" t="s">
        <v>4</v>
      </c>
      <c r="B1" t="s">
        <v>5</v>
      </c>
      <c r="C1" t="s">
        <v>39</v>
      </c>
    </row>
    <row r="2" spans="1:3">
      <c r="A2" s="26" t="s">
        <v>7</v>
      </c>
      <c r="B2">
        <v>50</v>
      </c>
      <c r="C2" s="26" t="s">
        <v>6</v>
      </c>
    </row>
    <row r="3" spans="1:3">
      <c r="A3" s="26" t="s">
        <v>8</v>
      </c>
      <c r="B3">
        <v>45</v>
      </c>
      <c r="C3" s="26" t="s">
        <v>6</v>
      </c>
    </row>
    <row r="4" spans="1:3">
      <c r="A4" s="26" t="s">
        <v>26</v>
      </c>
      <c r="B4">
        <v>58</v>
      </c>
      <c r="C4" s="26" t="s">
        <v>35</v>
      </c>
    </row>
    <row r="5" spans="1:3">
      <c r="A5" s="26" t="s">
        <v>27</v>
      </c>
      <c r="B5">
        <v>4</v>
      </c>
      <c r="C5" s="26" t="s">
        <v>35</v>
      </c>
    </row>
    <row r="6" spans="1:3">
      <c r="A6" s="26" t="s">
        <v>28</v>
      </c>
      <c r="B6">
        <v>40</v>
      </c>
      <c r="C6" s="26" t="s">
        <v>36</v>
      </c>
    </row>
    <row r="7" spans="1:3">
      <c r="A7" s="26" t="s">
        <v>29</v>
      </c>
      <c r="B7">
        <v>7.5</v>
      </c>
      <c r="C7" s="26" t="s">
        <v>36</v>
      </c>
    </row>
    <row r="8" spans="1:3">
      <c r="A8" s="26" t="s">
        <v>30</v>
      </c>
      <c r="B8">
        <v>4.8</v>
      </c>
      <c r="C8" s="26" t="s">
        <v>36</v>
      </c>
    </row>
    <row r="9" spans="1:3">
      <c r="A9" s="26" t="s">
        <v>31</v>
      </c>
      <c r="B9">
        <v>18</v>
      </c>
      <c r="C9" s="26" t="s">
        <v>36</v>
      </c>
    </row>
    <row r="10" spans="1:3">
      <c r="A10" s="26" t="s">
        <v>32</v>
      </c>
      <c r="B10">
        <v>150</v>
      </c>
      <c r="C10" s="26" t="s">
        <v>38</v>
      </c>
    </row>
    <row r="11" spans="1:3">
      <c r="A11" s="26" t="s">
        <v>33</v>
      </c>
      <c r="B11">
        <v>1760</v>
      </c>
      <c r="C11" s="26" t="s">
        <v>37</v>
      </c>
    </row>
    <row r="12" spans="1:3">
      <c r="A12" s="26" t="s">
        <v>34</v>
      </c>
      <c r="B12">
        <v>60</v>
      </c>
      <c r="C12" s="26" t="s">
        <v>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EEE0-F30C-477F-902D-D680A457E2CA}">
  <dimension ref="A1:F3"/>
  <sheetViews>
    <sheetView workbookViewId="0">
      <selection activeCell="C1" sqref="C1:C1048576"/>
    </sheetView>
  </sheetViews>
  <sheetFormatPr baseColWidth="10" defaultRowHeight="14.25"/>
  <cols>
    <col min="1" max="1" width="36" bestFit="1" customWidth="1"/>
    <col min="2" max="2" width="16.25" bestFit="1" customWidth="1"/>
    <col min="3" max="3" width="5" style="5" bestFit="1" customWidth="1"/>
    <col min="4" max="4" width="6.25" bestFit="1" customWidth="1"/>
    <col min="5" max="5" width="8.75" bestFit="1" customWidth="1"/>
    <col min="6" max="6" width="8.875" bestFit="1" customWidth="1"/>
  </cols>
  <sheetData>
    <row r="1" spans="1:6">
      <c r="A1" t="s">
        <v>10</v>
      </c>
      <c r="B1" t="s">
        <v>0</v>
      </c>
      <c r="C1" s="5" t="s">
        <v>1</v>
      </c>
      <c r="D1" t="s">
        <v>9</v>
      </c>
      <c r="E1" t="s">
        <v>2</v>
      </c>
      <c r="F1" t="s">
        <v>14</v>
      </c>
    </row>
    <row r="2" spans="1:6">
      <c r="A2" s="26" t="s">
        <v>19</v>
      </c>
      <c r="B2" s="26" t="s">
        <v>20</v>
      </c>
      <c r="C2" s="5" t="s">
        <v>21</v>
      </c>
      <c r="D2">
        <v>3105</v>
      </c>
      <c r="E2" s="26" t="s">
        <v>22</v>
      </c>
      <c r="F2">
        <v>64331823</v>
      </c>
    </row>
    <row r="3" spans="1:6">
      <c r="A3" s="26" t="s">
        <v>11</v>
      </c>
      <c r="B3" s="26" t="s">
        <v>13</v>
      </c>
      <c r="C3" s="5">
        <v>2</v>
      </c>
      <c r="D3">
        <v>1020</v>
      </c>
      <c r="E3" s="26" t="s">
        <v>12</v>
      </c>
      <c r="F3">
        <v>15586603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23C54-85A5-4B91-A398-AFDCA0A5BCA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ecfacbe-31ad-493b-8038-696ca31d2afe}" enabled="1" method="Privileged" siteId="{763b2760-45c5-46d3-883e-29705bba49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9</vt:i4>
      </vt:variant>
    </vt:vector>
  </HeadingPairs>
  <TitlesOfParts>
    <vt:vector size="14" baseType="lpstr">
      <vt:lpstr>Adresse</vt:lpstr>
      <vt:lpstr>Positionen</vt:lpstr>
      <vt:lpstr>Firma</vt:lpstr>
      <vt:lpstr>Liste___Positionen</vt:lpstr>
      <vt:lpstr>Liste___Firma</vt:lpstr>
      <vt:lpstr>ATU</vt:lpstr>
      <vt:lpstr>Bezeichnung</vt:lpstr>
      <vt:lpstr>Einzelpreis</vt:lpstr>
      <vt:lpstr>Mengenbezeichnung</vt:lpstr>
      <vt:lpstr>Name</vt:lpstr>
      <vt:lpstr>Nr</vt:lpstr>
      <vt:lpstr>Ort</vt:lpstr>
      <vt:lpstr>PLZ</vt:lpstr>
      <vt:lpstr>Straße</vt:lpstr>
    </vt:vector>
  </TitlesOfParts>
  <Company>msg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Erion Polisi</dc:creator>
  <cp:lastModifiedBy>Erion Polisi</cp:lastModifiedBy>
  <dcterms:created xsi:type="dcterms:W3CDTF">2025-09-23T15:24:34Z</dcterms:created>
  <dcterms:modified xsi:type="dcterms:W3CDTF">2026-03-26T23:51:04Z</dcterms:modified>
</cp:coreProperties>
</file>